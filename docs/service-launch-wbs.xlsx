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  <sheet xmlns:r="http://schemas.openxmlformats.org/officeDocument/2006/relationships" name="マイルストーン" sheetId="2" state="visible" r:id="rId2"/>
    <sheet xmlns:r="http://schemas.openxmlformats.org/officeDocument/2006/relationships" name="前提・リス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"/>
    <numFmt numFmtId="166" formatCode="0.0%"/>
  </numFmts>
  <fonts count="13">
    <font>
      <name val="Calibri"/>
      <family val="2"/>
      <color theme="1"/>
      <sz val="11"/>
      <scheme val="minor"/>
    </font>
    <font>
      <name val="Yu Gothic"/>
      <b val="1"/>
      <color rgb="000A1A30"/>
      <sz val="16"/>
    </font>
    <font>
      <name val="Yu Gothic"/>
      <color rgb="005C739A"/>
      <sz val="10"/>
    </font>
    <font>
      <name val="Yu Gothic"/>
      <b val="1"/>
      <color rgb="005C739A"/>
      <sz val="9"/>
    </font>
    <font>
      <name val="Yu Gothic"/>
      <color rgb="005C739A"/>
      <sz val="9"/>
    </font>
    <font>
      <name val="Yu Gothic"/>
      <b val="1"/>
      <color rgb="00856732"/>
      <sz val="10"/>
    </font>
    <font>
      <name val="Yu Gothic"/>
      <b val="1"/>
      <color rgb="00856732"/>
      <sz val="9"/>
    </font>
    <font>
      <name val="Yu Gothic"/>
      <color rgb="000A1A30"/>
      <sz val="9"/>
    </font>
    <font>
      <name val="Yu Gothic"/>
      <b val="1"/>
      <color rgb="000A1A30"/>
      <sz val="9"/>
    </font>
    <font>
      <name val="Yu Gothic"/>
      <b val="1"/>
      <color rgb="000A1A30"/>
      <sz val="11"/>
    </font>
    <font>
      <name val="Yu Gothic"/>
      <b val="1"/>
      <color rgb="000A1A30"/>
      <sz val="14"/>
    </font>
    <font>
      <name val="Yu Gothic"/>
      <color rgb="009B3D3D"/>
      <sz val="9"/>
    </font>
    <font>
      <name val="Yu Gothic"/>
      <i val="1"/>
      <color rgb="005C739A"/>
      <sz val="9"/>
    </font>
  </fonts>
  <fills count="8">
    <fill>
      <patternFill/>
    </fill>
    <fill>
      <patternFill patternType="gray125"/>
    </fill>
    <fill>
      <patternFill patternType="solid">
        <fgColor rgb="009B3D3D"/>
      </patternFill>
    </fill>
    <fill>
      <patternFill patternType="solid">
        <fgColor rgb="00C9A55C"/>
      </patternFill>
    </fill>
    <fill>
      <patternFill patternType="solid">
        <fgColor rgb="000A1A30"/>
      </patternFill>
    </fill>
    <fill>
      <patternFill patternType="solid">
        <fgColor rgb="00FBF7EB"/>
      </patternFill>
    </fill>
    <fill>
      <patternFill patternType="solid">
        <fgColor rgb="00F4E8C4"/>
      </patternFill>
    </fill>
    <fill>
      <patternFill patternType="solid">
        <fgColor rgb="00CBD3E3"/>
      </patternFill>
    </fill>
  </fills>
  <borders count="2">
    <border>
      <left/>
      <right/>
      <top/>
      <bottom/>
      <diagonal/>
    </border>
    <border>
      <left style="thin">
        <color rgb="00CBD3E3"/>
      </left>
      <right style="thin">
        <color rgb="00CBD3E3"/>
      </right>
      <top style="thin">
        <color rgb="00CBD3E3"/>
      </top>
      <bottom style="thin">
        <color rgb="00CBD3E3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165" fontId="7" fillId="0" borderId="1" applyAlignment="1" pivotButton="0" quotePrefix="0" xfId="0">
      <alignment horizontal="center" vertical="top"/>
    </xf>
    <xf numFmtId="1" fontId="7" fillId="0" borderId="1" applyAlignment="1" pivotButton="0" quotePrefix="0" xfId="0">
      <alignment horizontal="center" vertical="top"/>
    </xf>
    <xf numFmtId="0" fontId="0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8" fillId="6" borderId="1" applyAlignment="1" pivotButton="0" quotePrefix="0" xfId="0">
      <alignment horizontal="center" vertical="top"/>
    </xf>
    <xf numFmtId="0" fontId="8" fillId="6" borderId="1" applyAlignment="1" pivotButton="0" quotePrefix="0" xfId="0">
      <alignment vertical="top"/>
    </xf>
    <xf numFmtId="0" fontId="8" fillId="6" borderId="1" applyAlignment="1" pivotButton="0" quotePrefix="0" xfId="0">
      <alignment vertical="top" wrapText="1"/>
    </xf>
    <xf numFmtId="165" fontId="8" fillId="6" borderId="1" applyAlignment="1" pivotButton="0" quotePrefix="0" xfId="0">
      <alignment horizontal="center" vertical="top"/>
    </xf>
    <xf numFmtId="1" fontId="7" fillId="6" borderId="1" applyAlignment="1" pivotButton="0" quotePrefix="0" xfId="0">
      <alignment horizontal="center" vertical="top"/>
    </xf>
    <xf numFmtId="0" fontId="0" fillId="4" borderId="1" pivotButton="0" quotePrefix="0" xfId="0"/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horizontal="center" vertical="top"/>
    </xf>
    <xf numFmtId="0" fontId="0" fillId="7" borderId="1" pivotButton="0" quotePrefix="0" xfId="0"/>
    <xf numFmtId="0" fontId="9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0" fontId="10" fillId="0" borderId="0" pivotButton="0" quotePrefix="0" xfId="0"/>
    <xf numFmtId="0" fontId="5" fillId="5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center" vertical="top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7" customWidth="1" min="2" max="2"/>
    <col width="40" customWidth="1" min="3" max="3"/>
    <col width="44" customWidth="1" min="4" max="4"/>
    <col width="11" customWidth="1" min="5" max="5"/>
    <col width="8" customWidth="1" min="6" max="6"/>
    <col width="8" customWidth="1" min="7" max="7"/>
    <col width="6" customWidth="1" min="8" max="8"/>
    <col width="10" customWidth="1" min="9" max="9"/>
    <col width="9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s="1" t="inlineStr">
        <is>
          <t>THE CONCIERGE　サービス開始WBS</t>
        </is>
      </c>
    </row>
    <row r="2">
      <c r="A2" s="2" t="inlineStr">
        <is>
          <t>目標：9月＝招待制モニター開始（〜100名）／有料化は10月以降　｜　作成 2026-08-10</t>
        </is>
      </c>
    </row>
    <row r="3">
      <c r="A3" s="3" t="inlineStr">
        <is>
          <t>凡例：</t>
        </is>
      </c>
      <c r="B3" s="4" t="n"/>
      <c r="C3" s="5" t="inlineStr">
        <is>
          <t>クリティカルパス（遅れると全体が遅れる）</t>
        </is>
      </c>
      <c r="E3" s="6" t="n"/>
      <c r="F3" s="5" t="inlineStr">
        <is>
          <t>通常タスク</t>
        </is>
      </c>
      <c r="H3" s="7" t="n"/>
      <c r="I3" s="5" t="inlineStr">
        <is>
          <t>マイルストーン</t>
        </is>
      </c>
    </row>
    <row r="5" ht="30" customHeight="1">
      <c r="A5" s="8" t="inlineStr">
        <is>
          <t>WBS</t>
        </is>
      </c>
      <c r="B5" s="8" t="inlineStr">
        <is>
          <t>大分類</t>
        </is>
      </c>
      <c r="C5" s="8" t="inlineStr">
        <is>
          <t>タスク</t>
        </is>
      </c>
      <c r="D5" s="8" t="inlineStr">
        <is>
          <t>完了条件（Done の定義）</t>
        </is>
      </c>
      <c r="E5" s="8" t="inlineStr">
        <is>
          <t>担当</t>
        </is>
      </c>
      <c r="F5" s="8" t="inlineStr">
        <is>
          <t>開始</t>
        </is>
      </c>
      <c r="G5" s="8" t="inlineStr">
        <is>
          <t>期限</t>
        </is>
      </c>
      <c r="H5" s="8" t="inlineStr">
        <is>
          <t>日数</t>
        </is>
      </c>
      <c r="I5" s="8" t="inlineStr">
        <is>
          <t>先行</t>
        </is>
      </c>
      <c r="J5" s="8" t="inlineStr">
        <is>
          <t>状態</t>
        </is>
      </c>
      <c r="K5" s="9" t="inlineStr">
        <is>
          <t>8/10週</t>
        </is>
      </c>
      <c r="L5" s="9" t="inlineStr">
        <is>
          <t>8/17週</t>
        </is>
      </c>
      <c r="M5" s="9" t="inlineStr">
        <is>
          <t>8/24週</t>
        </is>
      </c>
      <c r="N5" s="9" t="inlineStr">
        <is>
          <t>8/31週</t>
        </is>
      </c>
      <c r="O5" s="9" t="inlineStr">
        <is>
          <t>9/7週</t>
        </is>
      </c>
      <c r="P5" s="9" t="inlineStr">
        <is>
          <t>9/14週</t>
        </is>
      </c>
      <c r="Q5" s="9" t="inlineStr">
        <is>
          <t>9/21週</t>
        </is>
      </c>
      <c r="R5" s="9" t="inlineStr">
        <is>
          <t>9/28週</t>
        </is>
      </c>
    </row>
    <row r="6">
      <c r="A6" s="10" t="inlineStr">
        <is>
          <t>1.1</t>
        </is>
      </c>
      <c r="B6" s="11" t="inlineStr">
        <is>
          <t>1 法人設立</t>
        </is>
      </c>
      <c r="C6" s="12" t="inlineStr">
        <is>
          <t>商号・本店・事業目的・資本金・決算期を決める</t>
        </is>
      </c>
      <c r="D6" s="12" t="inlineStr">
        <is>
          <t>登記に必要な基本事項が確定し、書面化されている</t>
        </is>
      </c>
      <c r="E6" s="10" t="inlineStr">
        <is>
          <t>自分</t>
        </is>
      </c>
      <c r="F6" s="13" t="n">
        <v>46245</v>
      </c>
      <c r="G6" s="13" t="n">
        <v>46247</v>
      </c>
      <c r="H6" s="14">
        <f>G6-F6+1</f>
        <v/>
      </c>
      <c r="I6" s="10" t="inlineStr">
        <is>
          <t>—</t>
        </is>
      </c>
      <c r="J6" s="10" t="inlineStr">
        <is>
          <t>未着手</t>
        </is>
      </c>
      <c r="K6" s="15" t="n"/>
      <c r="L6" s="16" t="n"/>
      <c r="M6" s="16" t="n"/>
      <c r="N6" s="16" t="n"/>
      <c r="O6" s="16" t="n"/>
      <c r="P6" s="16" t="n"/>
      <c r="Q6" s="16" t="n"/>
      <c r="R6" s="16" t="n"/>
    </row>
    <row r="7">
      <c r="A7" s="10" t="inlineStr">
        <is>
          <t>1.2</t>
        </is>
      </c>
      <c r="B7" s="11" t="inlineStr">
        <is>
          <t>1 法人設立</t>
        </is>
      </c>
      <c r="C7" s="12" t="inlineStr">
        <is>
          <t>商号調査・ドメイン空き確認・商標の予備調査</t>
        </is>
      </c>
      <c r="D7" s="12" t="inlineStr">
        <is>
          <t>同一商号がなく、使いたいドメインが取得可能で、明らかな商標抵触がない</t>
        </is>
      </c>
      <c r="E7" s="10" t="inlineStr">
        <is>
          <t>自分</t>
        </is>
      </c>
      <c r="F7" s="13" t="n">
        <v>46245</v>
      </c>
      <c r="G7" s="13" t="n">
        <v>46247</v>
      </c>
      <c r="H7" s="14">
        <f>G7-F7+1</f>
        <v/>
      </c>
      <c r="I7" s="10" t="inlineStr">
        <is>
          <t>—</t>
        </is>
      </c>
      <c r="J7" s="10" t="inlineStr">
        <is>
          <t>未着手</t>
        </is>
      </c>
      <c r="K7" s="15" t="n"/>
      <c r="L7" s="16" t="n"/>
      <c r="M7" s="16" t="n"/>
      <c r="N7" s="16" t="n"/>
      <c r="O7" s="16" t="n"/>
      <c r="P7" s="16" t="n"/>
      <c r="Q7" s="16" t="n"/>
      <c r="R7" s="16" t="n"/>
    </row>
    <row r="8">
      <c r="A8" s="10" t="inlineStr">
        <is>
          <t>1.3</t>
        </is>
      </c>
      <c r="B8" s="11" t="inlineStr">
        <is>
          <t>1 法人設立</t>
        </is>
      </c>
      <c r="C8" s="12" t="inlineStr">
        <is>
          <t>会社実印・銀行印・角印を発注</t>
        </is>
      </c>
      <c r="D8" s="12" t="inlineStr">
        <is>
          <t>3本が手元に届いている（登記申請に実印が必須）</t>
        </is>
      </c>
      <c r="E8" s="10" t="inlineStr">
        <is>
          <t>自分</t>
        </is>
      </c>
      <c r="F8" s="13" t="n">
        <v>46247</v>
      </c>
      <c r="G8" s="13" t="n">
        <v>46253</v>
      </c>
      <c r="H8" s="14">
        <f>G8-F8+1</f>
        <v/>
      </c>
      <c r="I8" s="10" t="inlineStr">
        <is>
          <t>1.1</t>
        </is>
      </c>
      <c r="J8" s="10" t="inlineStr">
        <is>
          <t>未着手</t>
        </is>
      </c>
      <c r="K8" s="17" t="n"/>
      <c r="L8" s="17" t="n"/>
      <c r="M8" s="16" t="n"/>
      <c r="N8" s="16" t="n"/>
      <c r="O8" s="16" t="n"/>
      <c r="P8" s="16" t="n"/>
      <c r="Q8" s="16" t="n"/>
      <c r="R8" s="16" t="n"/>
    </row>
    <row r="9">
      <c r="A9" s="10" t="inlineStr">
        <is>
          <t>1.4</t>
        </is>
      </c>
      <c r="B9" s="11" t="inlineStr">
        <is>
          <t>1 法人設立</t>
        </is>
      </c>
      <c r="C9" s="12" t="inlineStr">
        <is>
          <t>定款を作成</t>
        </is>
      </c>
      <c r="D9" s="12" t="inlineStr">
        <is>
          <t>発起人・機関設計・事業目的を含む定款案が完成</t>
        </is>
      </c>
      <c r="E9" s="10" t="inlineStr">
        <is>
          <t>自分/専門家</t>
        </is>
      </c>
      <c r="F9" s="13" t="n">
        <v>46248</v>
      </c>
      <c r="G9" s="13" t="n">
        <v>46252</v>
      </c>
      <c r="H9" s="14">
        <f>G9-F9+1</f>
        <v/>
      </c>
      <c r="I9" s="10" t="inlineStr">
        <is>
          <t>1.1</t>
        </is>
      </c>
      <c r="J9" s="10" t="inlineStr">
        <is>
          <t>未着手</t>
        </is>
      </c>
      <c r="K9" s="15" t="n"/>
      <c r="L9" s="15" t="n"/>
      <c r="M9" s="16" t="n"/>
      <c r="N9" s="16" t="n"/>
      <c r="O9" s="16" t="n"/>
      <c r="P9" s="16" t="n"/>
      <c r="Q9" s="16" t="n"/>
      <c r="R9" s="16" t="n"/>
    </row>
    <row r="10">
      <c r="A10" s="10" t="inlineStr">
        <is>
          <t>1.5</t>
        </is>
      </c>
      <c r="B10" s="11" t="inlineStr">
        <is>
          <t>1 法人設立</t>
        </is>
      </c>
      <c r="C10" s="12" t="inlineStr">
        <is>
          <t>電子定款の認証（公証役場）</t>
        </is>
      </c>
      <c r="D10" s="12" t="inlineStr">
        <is>
          <t>認証済み定款を受領（電子認証なら印紙4万円が不要）</t>
        </is>
      </c>
      <c r="E10" s="10" t="inlineStr">
        <is>
          <t>専門家</t>
        </is>
      </c>
      <c r="F10" s="13" t="n">
        <v>46253</v>
      </c>
      <c r="G10" s="13" t="n">
        <v>46255</v>
      </c>
      <c r="H10" s="14">
        <f>G10-F10+1</f>
        <v/>
      </c>
      <c r="I10" s="10" t="inlineStr">
        <is>
          <t>1.4</t>
        </is>
      </c>
      <c r="J10" s="10" t="inlineStr">
        <is>
          <t>未着手</t>
        </is>
      </c>
      <c r="K10" s="16" t="n"/>
      <c r="L10" s="15" t="n"/>
      <c r="M10" s="16" t="n"/>
      <c r="N10" s="16" t="n"/>
      <c r="O10" s="16" t="n"/>
      <c r="P10" s="16" t="n"/>
      <c r="Q10" s="16" t="n"/>
      <c r="R10" s="16" t="n"/>
    </row>
    <row r="11">
      <c r="A11" s="10" t="inlineStr">
        <is>
          <t>1.6</t>
        </is>
      </c>
      <c r="B11" s="11" t="inlineStr">
        <is>
          <t>1 法人設立</t>
        </is>
      </c>
      <c r="C11" s="12" t="inlineStr">
        <is>
          <t>資本金の払込・払込証明の作成</t>
        </is>
      </c>
      <c r="D11" s="12" t="inlineStr">
        <is>
          <t>発起人個人口座への払込が完了し、通帳写しと証明書が揃う</t>
        </is>
      </c>
      <c r="E11" s="10" t="inlineStr">
        <is>
          <t>自分</t>
        </is>
      </c>
      <c r="F11" s="13" t="n">
        <v>46258</v>
      </c>
      <c r="G11" s="13" t="n">
        <v>46258</v>
      </c>
      <c r="H11" s="14">
        <f>G11-F11+1</f>
        <v/>
      </c>
      <c r="I11" s="10" t="inlineStr">
        <is>
          <t>1.5</t>
        </is>
      </c>
      <c r="J11" s="10" t="inlineStr">
        <is>
          <t>未着手</t>
        </is>
      </c>
      <c r="K11" s="16" t="n"/>
      <c r="L11" s="16" t="n"/>
      <c r="M11" s="15" t="n"/>
      <c r="N11" s="16" t="n"/>
      <c r="O11" s="16" t="n"/>
      <c r="P11" s="16" t="n"/>
      <c r="Q11" s="16" t="n"/>
      <c r="R11" s="16" t="n"/>
    </row>
    <row r="12">
      <c r="A12" s="18" t="inlineStr">
        <is>
          <t>1.7</t>
        </is>
      </c>
      <c r="B12" s="19" t="inlineStr">
        <is>
          <t>1 法人設立</t>
        </is>
      </c>
      <c r="C12" s="20" t="inlineStr">
        <is>
          <t>登記申請（法務局）＝会社設立日</t>
        </is>
      </c>
      <c r="D12" s="20" t="inlineStr">
        <is>
          <t>申請受理。この日が会社の設立日になる</t>
        </is>
      </c>
      <c r="E12" s="18" t="inlineStr">
        <is>
          <t>自分/専門家</t>
        </is>
      </c>
      <c r="F12" s="21" t="n">
        <v>46259</v>
      </c>
      <c r="G12" s="21" t="n">
        <v>46259</v>
      </c>
      <c r="H12" s="22">
        <f>G12-F12+1</f>
        <v/>
      </c>
      <c r="I12" s="18" t="inlineStr">
        <is>
          <t>1.3,1.6</t>
        </is>
      </c>
      <c r="J12" s="18" t="inlineStr">
        <is>
          <t>未着手</t>
        </is>
      </c>
      <c r="K12" s="16" t="n"/>
      <c r="L12" s="16" t="n"/>
      <c r="M12" s="23" t="n"/>
      <c r="N12" s="16" t="n"/>
      <c r="O12" s="16" t="n"/>
      <c r="P12" s="16" t="n"/>
      <c r="Q12" s="16" t="n"/>
      <c r="R12" s="16" t="n"/>
    </row>
    <row r="13">
      <c r="A13" s="10" t="inlineStr">
        <is>
          <t>1.8</t>
        </is>
      </c>
      <c r="B13" s="11" t="inlineStr">
        <is>
          <t>1 法人設立</t>
        </is>
      </c>
      <c r="C13" s="12" t="inlineStr">
        <is>
          <t>登記完了・登記事項証明書/印鑑証明を取得</t>
        </is>
      </c>
      <c r="D13" s="12" t="inlineStr">
        <is>
          <t>証明書を複数通取得（口座開設・各種契約で必要）</t>
        </is>
      </c>
      <c r="E13" s="10" t="inlineStr">
        <is>
          <t>自分</t>
        </is>
      </c>
      <c r="F13" s="13" t="n">
        <v>46266</v>
      </c>
      <c r="G13" s="13" t="n">
        <v>46269</v>
      </c>
      <c r="H13" s="14">
        <f>G13-F13+1</f>
        <v/>
      </c>
      <c r="I13" s="10" t="inlineStr">
        <is>
          <t>1.7</t>
        </is>
      </c>
      <c r="J13" s="10" t="inlineStr">
        <is>
          <t>未着手</t>
        </is>
      </c>
      <c r="K13" s="16" t="n"/>
      <c r="L13" s="16" t="n"/>
      <c r="M13" s="16" t="n"/>
      <c r="N13" s="15" t="n"/>
      <c r="O13" s="16" t="n"/>
      <c r="P13" s="16" t="n"/>
      <c r="Q13" s="16" t="n"/>
      <c r="R13" s="16" t="n"/>
    </row>
    <row r="14">
      <c r="A14" s="10" t="inlineStr">
        <is>
          <t>1.9</t>
        </is>
      </c>
      <c r="B14" s="11" t="inlineStr">
        <is>
          <t>1 法人設立</t>
        </is>
      </c>
      <c r="C14" s="12" t="inlineStr">
        <is>
          <t>税務署・都道府県・市区町村へ届出</t>
        </is>
      </c>
      <c r="D14" s="12" t="inlineStr">
        <is>
          <t>法人設立届・青色申告承認申請などを提出済み</t>
        </is>
      </c>
      <c r="E14" s="10" t="inlineStr">
        <is>
          <t>税理士</t>
        </is>
      </c>
      <c r="F14" s="13" t="n">
        <v>46272</v>
      </c>
      <c r="G14" s="13" t="n">
        <v>46276</v>
      </c>
      <c r="H14" s="14">
        <f>G14-F14+1</f>
        <v/>
      </c>
      <c r="I14" s="10" t="inlineStr">
        <is>
          <t>1.8</t>
        </is>
      </c>
      <c r="J14" s="10" t="inlineStr">
        <is>
          <t>未着手</t>
        </is>
      </c>
      <c r="K14" s="16" t="n"/>
      <c r="L14" s="16" t="n"/>
      <c r="M14" s="16" t="n"/>
      <c r="N14" s="16" t="n"/>
      <c r="O14" s="17" t="n"/>
      <c r="P14" s="16" t="n"/>
      <c r="Q14" s="16" t="n"/>
      <c r="R14" s="16" t="n"/>
    </row>
    <row r="15">
      <c r="A15" s="10" t="inlineStr">
        <is>
          <t>1.10</t>
        </is>
      </c>
      <c r="B15" s="11" t="inlineStr">
        <is>
          <t>1 法人設立</t>
        </is>
      </c>
      <c r="C15" s="12" t="inlineStr">
        <is>
          <t>法人口座の開設申込</t>
        </is>
      </c>
      <c r="D15" s="12" t="inlineStr">
        <is>
          <t>口座開設完了。審査に2〜4週かかるため有料化の律速になる</t>
        </is>
      </c>
      <c r="E15" s="10" t="inlineStr">
        <is>
          <t>自分</t>
        </is>
      </c>
      <c r="F15" s="13" t="n">
        <v>46272</v>
      </c>
      <c r="G15" s="13" t="n">
        <v>46295</v>
      </c>
      <c r="H15" s="14">
        <f>G15-F15+1</f>
        <v/>
      </c>
      <c r="I15" s="10" t="inlineStr">
        <is>
          <t>1.8</t>
        </is>
      </c>
      <c r="J15" s="10" t="inlineStr">
        <is>
          <t>未着手</t>
        </is>
      </c>
      <c r="K15" s="16" t="n"/>
      <c r="L15" s="16" t="n"/>
      <c r="M15" s="16" t="n"/>
      <c r="N15" s="16" t="n"/>
      <c r="O15" s="17" t="n"/>
      <c r="P15" s="17" t="n"/>
      <c r="Q15" s="17" t="n"/>
      <c r="R15" s="17" t="n"/>
    </row>
    <row r="16">
      <c r="A16" s="10" t="inlineStr">
        <is>
          <t>1.11</t>
        </is>
      </c>
      <c r="B16" s="11" t="inlineStr">
        <is>
          <t>1 法人設立</t>
        </is>
      </c>
      <c r="C16" s="12" t="inlineStr">
        <is>
          <t>会計・税務の体制づくり（税理士契約／会計ソフト）</t>
        </is>
      </c>
      <c r="D16" s="12" t="inlineStr">
        <is>
          <t>記帳の運用が決まり、freee等の初期設定が済んでいる</t>
        </is>
      </c>
      <c r="E16" s="10" t="inlineStr">
        <is>
          <t>自分</t>
        </is>
      </c>
      <c r="F16" s="13" t="n">
        <v>46272</v>
      </c>
      <c r="G16" s="13" t="n">
        <v>46283</v>
      </c>
      <c r="H16" s="14">
        <f>G16-F16+1</f>
        <v/>
      </c>
      <c r="I16" s="10" t="inlineStr">
        <is>
          <t>1.8</t>
        </is>
      </c>
      <c r="J16" s="10" t="inlineStr">
        <is>
          <t>未着手</t>
        </is>
      </c>
      <c r="K16" s="16" t="n"/>
      <c r="L16" s="16" t="n"/>
      <c r="M16" s="16" t="n"/>
      <c r="N16" s="16" t="n"/>
      <c r="O16" s="17" t="n"/>
      <c r="P16" s="17" t="n"/>
      <c r="Q16" s="16" t="n"/>
      <c r="R16" s="16" t="n"/>
    </row>
    <row r="17">
      <c r="A17" s="18" t="inlineStr">
        <is>
          <t>2.1</t>
        </is>
      </c>
      <c r="B17" s="19" t="inlineStr">
        <is>
          <t>2 Google本番化・審査</t>
        </is>
      </c>
      <c r="C17" s="20" t="inlineStr">
        <is>
          <t>★OAuth同意画面を「本番」に公開</t>
        </is>
      </c>
      <c r="D17" s="20" t="inlineStr">
        <is>
          <t>テスト状態を脱し、7日でトークンが失効する問題が解消される</t>
        </is>
      </c>
      <c r="E17" s="18" t="inlineStr">
        <is>
          <t>自分</t>
        </is>
      </c>
      <c r="F17" s="21" t="n">
        <v>46245</v>
      </c>
      <c r="G17" s="21" t="n">
        <v>46245</v>
      </c>
      <c r="H17" s="22">
        <f>G17-F17+1</f>
        <v/>
      </c>
      <c r="I17" s="18" t="inlineStr">
        <is>
          <t>—</t>
        </is>
      </c>
      <c r="J17" s="18" t="inlineStr">
        <is>
          <t>未着手</t>
        </is>
      </c>
      <c r="K17" s="23" t="n"/>
      <c r="L17" s="16" t="n"/>
      <c r="M17" s="16" t="n"/>
      <c r="N17" s="16" t="n"/>
      <c r="O17" s="16" t="n"/>
      <c r="P17" s="16" t="n"/>
      <c r="Q17" s="16" t="n"/>
      <c r="R17" s="16" t="n"/>
    </row>
    <row r="18">
      <c r="A18" s="10" t="inlineStr">
        <is>
          <t>2.2</t>
        </is>
      </c>
      <c r="B18" s="11" t="inlineStr">
        <is>
          <t>2 Google本番化・審査</t>
        </is>
      </c>
      <c r="C18" s="12" t="inlineStr">
        <is>
          <t>独自ドメインを取得</t>
        </is>
      </c>
      <c r="D18" s="12" t="inlineStr">
        <is>
          <t>ドメイン取得完了（審査要件。vercel.appでは所有権確認ができない）</t>
        </is>
      </c>
      <c r="E18" s="10" t="inlineStr">
        <is>
          <t>自分</t>
        </is>
      </c>
      <c r="F18" s="13" t="n">
        <v>46245</v>
      </c>
      <c r="G18" s="13" t="n">
        <v>46246</v>
      </c>
      <c r="H18" s="14">
        <f>G18-F18+1</f>
        <v/>
      </c>
      <c r="I18" s="10" t="inlineStr">
        <is>
          <t>1.2</t>
        </is>
      </c>
      <c r="J18" s="10" t="inlineStr">
        <is>
          <t>未着手</t>
        </is>
      </c>
      <c r="K18" s="15" t="n"/>
      <c r="L18" s="16" t="n"/>
      <c r="M18" s="16" t="n"/>
      <c r="N18" s="16" t="n"/>
      <c r="O18" s="16" t="n"/>
      <c r="P18" s="16" t="n"/>
      <c r="Q18" s="16" t="n"/>
      <c r="R18" s="16" t="n"/>
    </row>
    <row r="19">
      <c r="A19" s="10" t="inlineStr">
        <is>
          <t>2.3</t>
        </is>
      </c>
      <c r="B19" s="11" t="inlineStr">
        <is>
          <t>2 Google本番化・審査</t>
        </is>
      </c>
      <c r="C19" s="12" t="inlineStr">
        <is>
          <t>DNS設定・Vercelへ独自ドメインを割当</t>
        </is>
      </c>
      <c r="D19" s="12" t="inlineStr">
        <is>
          <t>独自ドメインでアプリが表示される</t>
        </is>
      </c>
      <c r="E19" s="10" t="inlineStr">
        <is>
          <t>自分</t>
        </is>
      </c>
      <c r="F19" s="13" t="n">
        <v>46246</v>
      </c>
      <c r="G19" s="13" t="n">
        <v>46247</v>
      </c>
      <c r="H19" s="14">
        <f>G19-F19+1</f>
        <v/>
      </c>
      <c r="I19" s="10" t="inlineStr">
        <is>
          <t>2.2</t>
        </is>
      </c>
      <c r="J19" s="10" t="inlineStr">
        <is>
          <t>未着手</t>
        </is>
      </c>
      <c r="K19" s="15" t="n"/>
      <c r="L19" s="16" t="n"/>
      <c r="M19" s="16" t="n"/>
      <c r="N19" s="16" t="n"/>
      <c r="O19" s="16" t="n"/>
      <c r="P19" s="16" t="n"/>
      <c r="Q19" s="16" t="n"/>
      <c r="R19" s="16" t="n"/>
    </row>
    <row r="20">
      <c r="A20" s="10" t="inlineStr">
        <is>
          <t>2.4</t>
        </is>
      </c>
      <c r="B20" s="11" t="inlineStr">
        <is>
          <t>2 Google本番化・審査</t>
        </is>
      </c>
      <c r="C20" s="12" t="inlineStr">
        <is>
          <t>アプリを独自ドメインへ移行（環境変数・リダイレクトURI・CORS）</t>
        </is>
      </c>
      <c r="D20" s="12" t="inlineStr">
        <is>
          <t>新ドメインでGoogle連携が最後まで通る</t>
        </is>
      </c>
      <c r="E20" s="10" t="inlineStr">
        <is>
          <t>開発</t>
        </is>
      </c>
      <c r="F20" s="13" t="n">
        <v>46247</v>
      </c>
      <c r="G20" s="13" t="n">
        <v>46248</v>
      </c>
      <c r="H20" s="14">
        <f>G20-F20+1</f>
        <v/>
      </c>
      <c r="I20" s="10" t="inlineStr">
        <is>
          <t>2.3</t>
        </is>
      </c>
      <c r="J20" s="10" t="inlineStr">
        <is>
          <t>未着手</t>
        </is>
      </c>
      <c r="K20" s="15" t="n"/>
      <c r="L20" s="16" t="n"/>
      <c r="M20" s="16" t="n"/>
      <c r="N20" s="16" t="n"/>
      <c r="O20" s="16" t="n"/>
      <c r="P20" s="16" t="n"/>
      <c r="Q20" s="16" t="n"/>
      <c r="R20" s="16" t="n"/>
    </row>
    <row r="21">
      <c r="A21" s="10" t="inlineStr">
        <is>
          <t>2.5</t>
        </is>
      </c>
      <c r="B21" s="11" t="inlineStr">
        <is>
          <t>2 Google本番化・審査</t>
        </is>
      </c>
      <c r="C21" s="12" t="inlineStr">
        <is>
          <t>Search Console でドメイン所有権を確認</t>
        </is>
      </c>
      <c r="D21" s="12" t="inlineStr">
        <is>
          <t>所有権確認済み。ブランド審査の必須要件</t>
        </is>
      </c>
      <c r="E21" s="10" t="inlineStr">
        <is>
          <t>自分</t>
        </is>
      </c>
      <c r="F21" s="13" t="n">
        <v>46247</v>
      </c>
      <c r="G21" s="13" t="n">
        <v>46248</v>
      </c>
      <c r="H21" s="14">
        <f>G21-F21+1</f>
        <v/>
      </c>
      <c r="I21" s="10" t="inlineStr">
        <is>
          <t>2.3</t>
        </is>
      </c>
      <c r="J21" s="10" t="inlineStr">
        <is>
          <t>未着手</t>
        </is>
      </c>
      <c r="K21" s="15" t="n"/>
      <c r="L21" s="16" t="n"/>
      <c r="M21" s="16" t="n"/>
      <c r="N21" s="16" t="n"/>
      <c r="O21" s="16" t="n"/>
      <c r="P21" s="16" t="n"/>
      <c r="Q21" s="16" t="n"/>
      <c r="R21" s="16" t="n"/>
    </row>
    <row r="22">
      <c r="A22" s="10" t="inlineStr">
        <is>
          <t>2.6</t>
        </is>
      </c>
      <c r="B22" s="11" t="inlineStr">
        <is>
          <t>2 Google本番化・審査</t>
        </is>
      </c>
      <c r="C22" s="12" t="inlineStr">
        <is>
          <t>LP（ホームページ）を制作・公開</t>
        </is>
      </c>
      <c r="D22" s="12" t="inlineStr">
        <is>
          <t>独自ドメイン上で機能を説明し、プライバシーポリシーへリンクしている。訴求文言は3.1のポジショニングと揃っている</t>
        </is>
      </c>
      <c r="E22" s="10" t="inlineStr">
        <is>
          <t>自分/開発</t>
        </is>
      </c>
      <c r="F22" s="13" t="n">
        <v>46251</v>
      </c>
      <c r="G22" s="13" t="n">
        <v>46258</v>
      </c>
      <c r="H22" s="14">
        <f>G22-F22+1</f>
        <v/>
      </c>
      <c r="I22" s="10" t="inlineStr">
        <is>
          <t>2.3,3.1</t>
        </is>
      </c>
      <c r="J22" s="10" t="inlineStr">
        <is>
          <t>未着手</t>
        </is>
      </c>
      <c r="K22" s="16" t="n"/>
      <c r="L22" s="15" t="n"/>
      <c r="M22" s="15" t="n"/>
      <c r="N22" s="16" t="n"/>
      <c r="O22" s="16" t="n"/>
      <c r="P22" s="16" t="n"/>
      <c r="Q22" s="16" t="n"/>
      <c r="R22" s="16" t="n"/>
    </row>
    <row r="23">
      <c r="A23" s="10" t="inlineStr">
        <is>
          <t>2.7</t>
        </is>
      </c>
      <c r="B23" s="11" t="inlineStr">
        <is>
          <t>2 Google本番化・審査</t>
        </is>
      </c>
      <c r="C23" s="12" t="inlineStr">
        <is>
          <t>プライバシーポリシーを作成・掲載</t>
        </is>
      </c>
      <c r="D23" s="12" t="inlineStr">
        <is>
          <t>同一ドメイン上に掲載。取得データと利用目的、Google データの扱いを明記</t>
        </is>
      </c>
      <c r="E23" s="10" t="inlineStr">
        <is>
          <t>専門家確認</t>
        </is>
      </c>
      <c r="F23" s="13" t="n">
        <v>46251</v>
      </c>
      <c r="G23" s="13" t="n">
        <v>46259</v>
      </c>
      <c r="H23" s="14">
        <f>G23-F23+1</f>
        <v/>
      </c>
      <c r="I23" s="10" t="inlineStr">
        <is>
          <t>1.1</t>
        </is>
      </c>
      <c r="J23" s="10" t="inlineStr">
        <is>
          <t>未着手</t>
        </is>
      </c>
      <c r="K23" s="16" t="n"/>
      <c r="L23" s="15" t="n"/>
      <c r="M23" s="15" t="n"/>
      <c r="N23" s="16" t="n"/>
      <c r="O23" s="16" t="n"/>
      <c r="P23" s="16" t="n"/>
      <c r="Q23" s="16" t="n"/>
      <c r="R23" s="16" t="n"/>
    </row>
    <row r="24">
      <c r="A24" s="10" t="inlineStr">
        <is>
          <t>2.8</t>
        </is>
      </c>
      <c r="B24" s="11" t="inlineStr">
        <is>
          <t>2 Google本番化・審査</t>
        </is>
      </c>
      <c r="C24" s="12" t="inlineStr">
        <is>
          <t>利用規約を作成・掲載</t>
        </is>
      </c>
      <c r="D24" s="12" t="inlineStr">
        <is>
          <t>免責・禁止事項・解約条件を含む規約を掲載</t>
        </is>
      </c>
      <c r="E24" s="10" t="inlineStr">
        <is>
          <t>専門家確認</t>
        </is>
      </c>
      <c r="F24" s="13" t="n">
        <v>46251</v>
      </c>
      <c r="G24" s="13" t="n">
        <v>46259</v>
      </c>
      <c r="H24" s="14">
        <f>G24-F24+1</f>
        <v/>
      </c>
      <c r="I24" s="10" t="inlineStr">
        <is>
          <t>1.1</t>
        </is>
      </c>
      <c r="J24" s="10" t="inlineStr">
        <is>
          <t>未着手</t>
        </is>
      </c>
      <c r="K24" s="16" t="n"/>
      <c r="L24" s="17" t="n"/>
      <c r="M24" s="17" t="n"/>
      <c r="N24" s="16" t="n"/>
      <c r="O24" s="16" t="n"/>
      <c r="P24" s="16" t="n"/>
      <c r="Q24" s="16" t="n"/>
      <c r="R24" s="16" t="n"/>
    </row>
    <row r="25">
      <c r="A25" s="10" t="inlineStr">
        <is>
          <t>2.9</t>
        </is>
      </c>
      <c r="B25" s="11" t="inlineStr">
        <is>
          <t>2 Google本番化・審査</t>
        </is>
      </c>
      <c r="C25" s="12" t="inlineStr">
        <is>
          <t>デモ動画を作成（英語・同意画面と全機能）</t>
        </is>
      </c>
      <c r="D25" s="12" t="inlineStr">
        <is>
          <t>OAuth同意画面と要求スコープが映った通しの動画をYouTube等に公開</t>
        </is>
      </c>
      <c r="E25" s="10" t="inlineStr">
        <is>
          <t>自分</t>
        </is>
      </c>
      <c r="F25" s="13" t="n">
        <v>46258</v>
      </c>
      <c r="G25" s="13" t="n">
        <v>46261</v>
      </c>
      <c r="H25" s="14">
        <f>G25-F25+1</f>
        <v/>
      </c>
      <c r="I25" s="10" t="inlineStr">
        <is>
          <t>2.4,2.6</t>
        </is>
      </c>
      <c r="J25" s="10" t="inlineStr">
        <is>
          <t>未着手</t>
        </is>
      </c>
      <c r="K25" s="16" t="n"/>
      <c r="L25" s="16" t="n"/>
      <c r="M25" s="15" t="n"/>
      <c r="N25" s="16" t="n"/>
      <c r="O25" s="16" t="n"/>
      <c r="P25" s="16" t="n"/>
      <c r="Q25" s="16" t="n"/>
      <c r="R25" s="16" t="n"/>
    </row>
    <row r="26">
      <c r="A26" s="10" t="inlineStr">
        <is>
          <t>2.10</t>
        </is>
      </c>
      <c r="B26" s="11" t="inlineStr">
        <is>
          <t>2 Google本番化・審査</t>
        </is>
      </c>
      <c r="C26" s="12" t="inlineStr">
        <is>
          <t>スコープ正当化の説明文を作成</t>
        </is>
      </c>
      <c r="D26" s="12" t="inlineStr">
        <is>
          <t>calendar.events / readonly が必要な理由を機能単位で説明</t>
        </is>
      </c>
      <c r="E26" s="10" t="inlineStr">
        <is>
          <t>自分</t>
        </is>
      </c>
      <c r="F26" s="13" t="n">
        <v>46260</v>
      </c>
      <c r="G26" s="13" t="n">
        <v>46261</v>
      </c>
      <c r="H26" s="14">
        <f>G26-F26+1</f>
        <v/>
      </c>
      <c r="I26" s="10" t="inlineStr">
        <is>
          <t>—</t>
        </is>
      </c>
      <c r="J26" s="10" t="inlineStr">
        <is>
          <t>未着手</t>
        </is>
      </c>
      <c r="K26" s="16" t="n"/>
      <c r="L26" s="16" t="n"/>
      <c r="M26" s="15" t="n"/>
      <c r="N26" s="16" t="n"/>
      <c r="O26" s="16" t="n"/>
      <c r="P26" s="16" t="n"/>
      <c r="Q26" s="16" t="n"/>
      <c r="R26" s="16" t="n"/>
    </row>
    <row r="27">
      <c r="A27" s="18" t="inlineStr">
        <is>
          <t>2.11</t>
        </is>
      </c>
      <c r="B27" s="19" t="inlineStr">
        <is>
          <t>2 Google本番化・審査</t>
        </is>
      </c>
      <c r="C27" s="20" t="inlineStr">
        <is>
          <t>★審査を提出</t>
        </is>
      </c>
      <c r="D27" s="20" t="inlineStr">
        <is>
          <t>Google Cloud Console から verification を申請</t>
        </is>
      </c>
      <c r="E27" s="18" t="inlineStr">
        <is>
          <t>自分</t>
        </is>
      </c>
      <c r="F27" s="21" t="n">
        <v>46262</v>
      </c>
      <c r="G27" s="21" t="n">
        <v>46262</v>
      </c>
      <c r="H27" s="22">
        <f>G27-F27+1</f>
        <v/>
      </c>
      <c r="I27" s="18" t="inlineStr">
        <is>
          <t>2.5-2.10</t>
        </is>
      </c>
      <c r="J27" s="18" t="inlineStr">
        <is>
          <t>未着手</t>
        </is>
      </c>
      <c r="K27" s="16" t="n"/>
      <c r="L27" s="16" t="n"/>
      <c r="M27" s="23" t="n"/>
      <c r="N27" s="16" t="n"/>
      <c r="O27" s="16" t="n"/>
      <c r="P27" s="16" t="n"/>
      <c r="Q27" s="16" t="n"/>
      <c r="R27" s="16" t="n"/>
    </row>
    <row r="28">
      <c r="A28" s="10" t="inlineStr">
        <is>
          <t>2.12</t>
        </is>
      </c>
      <c r="B28" s="11" t="inlineStr">
        <is>
          <t>2 Google本番化・審査</t>
        </is>
      </c>
      <c r="C28" s="12" t="inlineStr">
        <is>
          <t>審査対応（差し戻し・追加質問）</t>
        </is>
      </c>
      <c r="D28" s="12" t="inlineStr">
        <is>
          <t>審査通過。期間はGoogleが公表しておらず数週間かかる想定</t>
        </is>
      </c>
      <c r="E28" s="10" t="inlineStr">
        <is>
          <t>自分</t>
        </is>
      </c>
      <c r="F28" s="13" t="n">
        <v>46265</v>
      </c>
      <c r="G28" s="13" t="n">
        <v>46295</v>
      </c>
      <c r="H28" s="14">
        <f>G28-F28+1</f>
        <v/>
      </c>
      <c r="I28" s="10" t="inlineStr">
        <is>
          <t>2.11</t>
        </is>
      </c>
      <c r="J28" s="10" t="inlineStr">
        <is>
          <t>未着手</t>
        </is>
      </c>
      <c r="K28" s="16" t="n"/>
      <c r="L28" s="16" t="n"/>
      <c r="M28" s="16" t="n"/>
      <c r="N28" s="15" t="n"/>
      <c r="O28" s="15" t="n"/>
      <c r="P28" s="15" t="n"/>
      <c r="Q28" s="15" t="n"/>
      <c r="R28" s="15" t="n"/>
    </row>
    <row r="29">
      <c r="A29" s="10" t="inlineStr">
        <is>
          <t>3.1</t>
        </is>
      </c>
      <c r="B29" s="11" t="inlineStr">
        <is>
          <t>3 マーケ・営業資料</t>
        </is>
      </c>
      <c r="C29" s="12" t="inlineStr">
        <is>
          <t>ポジショニング・ターゲット・訴求メッセージを確定</t>
        </is>
      </c>
      <c r="D29" s="12" t="inlineStr">
        <is>
          <t>「誰に／何を／なぜ今」が1枚にまとまり、LP・営業資料の共通言語になっている（既存の投資家向けpositioning.htmlを土台に招待制モニター向けへ転用）</t>
        </is>
      </c>
      <c r="E29" s="10" t="inlineStr">
        <is>
          <t>自分/チーム</t>
        </is>
      </c>
      <c r="F29" s="13" t="n">
        <v>46245</v>
      </c>
      <c r="G29" s="13" t="n">
        <v>46247</v>
      </c>
      <c r="H29" s="14">
        <f>G29-F29+1</f>
        <v/>
      </c>
      <c r="I29" s="10" t="inlineStr">
        <is>
          <t>—</t>
        </is>
      </c>
      <c r="J29" s="10" t="inlineStr">
        <is>
          <t>未着手</t>
        </is>
      </c>
      <c r="K29" s="15" t="n"/>
      <c r="L29" s="16" t="n"/>
      <c r="M29" s="16" t="n"/>
      <c r="N29" s="16" t="n"/>
      <c r="O29" s="16" t="n"/>
      <c r="P29" s="16" t="n"/>
      <c r="Q29" s="16" t="n"/>
      <c r="R29" s="16" t="n"/>
    </row>
    <row r="30">
      <c r="A30" s="10" t="inlineStr">
        <is>
          <t>3.2</t>
        </is>
      </c>
      <c r="B30" s="11" t="inlineStr">
        <is>
          <t>3 マーケ・営業資料</t>
        </is>
      </c>
      <c r="C30" s="12" t="inlineStr">
        <is>
          <t>招待用の営業資料（1枚もの＋声かけトークポイント）を作成</t>
        </is>
      </c>
      <c r="D30" s="12" t="inlineStr">
        <is>
          <t>人脈を持つメンバーがそのまま送れる資料（サービス概要・画面・招待条件・声かけ文面）が完成している</t>
        </is>
      </c>
      <c r="E30" s="10" t="inlineStr">
        <is>
          <t>自分</t>
        </is>
      </c>
      <c r="F30" s="13" t="n">
        <v>46248</v>
      </c>
      <c r="G30" s="13" t="n">
        <v>46253</v>
      </c>
      <c r="H30" s="14">
        <f>G30-F30+1</f>
        <v/>
      </c>
      <c r="I30" s="10" t="inlineStr">
        <is>
          <t>3.1</t>
        </is>
      </c>
      <c r="J30" s="10" t="inlineStr">
        <is>
          <t>未着手</t>
        </is>
      </c>
      <c r="K30" s="15" t="n"/>
      <c r="L30" s="15" t="n"/>
      <c r="M30" s="16" t="n"/>
      <c r="N30" s="16" t="n"/>
      <c r="O30" s="16" t="n"/>
      <c r="P30" s="16" t="n"/>
      <c r="Q30" s="16" t="n"/>
      <c r="R30" s="16" t="n"/>
    </row>
    <row r="31">
      <c r="A31" s="10" t="inlineStr">
        <is>
          <t>4.1</t>
        </is>
      </c>
      <c r="B31" s="11" t="inlineStr">
        <is>
          <t>4 プロダクト</t>
        </is>
      </c>
      <c r="C31" s="12" t="inlineStr">
        <is>
          <t>旧Vercelプロジェクト（the-concierge-delta）を削除</t>
        </is>
      </c>
      <c r="D31" s="12" t="inlineStr">
        <is>
          <t>誤アクセスの原因を除去</t>
        </is>
      </c>
      <c r="E31" s="10" t="inlineStr">
        <is>
          <t>自分</t>
        </is>
      </c>
      <c r="F31" s="13" t="n">
        <v>46245</v>
      </c>
      <c r="G31" s="13" t="n">
        <v>46245</v>
      </c>
      <c r="H31" s="14">
        <f>G31-F31+1</f>
        <v/>
      </c>
      <c r="I31" s="10" t="inlineStr">
        <is>
          <t>—</t>
        </is>
      </c>
      <c r="J31" s="10" t="inlineStr">
        <is>
          <t>未着手</t>
        </is>
      </c>
      <c r="K31" s="17" t="n"/>
      <c r="L31" s="16" t="n"/>
      <c r="M31" s="16" t="n"/>
      <c r="N31" s="16" t="n"/>
      <c r="O31" s="16" t="n"/>
      <c r="P31" s="16" t="n"/>
      <c r="Q31" s="16" t="n"/>
      <c r="R31" s="16" t="n"/>
    </row>
    <row r="32">
      <c r="A32" s="10" t="inlineStr">
        <is>
          <t>4.2</t>
        </is>
      </c>
      <c r="B32" s="11" t="inlineStr">
        <is>
          <t>4 プロダクト</t>
        </is>
      </c>
      <c r="C32" s="12" t="inlineStr">
        <is>
          <t>4人ドッグフーディング（2週間）</t>
        </is>
      </c>
      <c r="D32" s="12" t="inlineStr">
        <is>
          <t>4名が実業務で毎日使い、不具合と要望が洗い出されている</t>
        </is>
      </c>
      <c r="E32" s="10" t="inlineStr">
        <is>
          <t>全員</t>
        </is>
      </c>
      <c r="F32" s="13" t="n">
        <v>46245</v>
      </c>
      <c r="G32" s="13" t="n">
        <v>46258</v>
      </c>
      <c r="H32" s="14">
        <f>G32-F32+1</f>
        <v/>
      </c>
      <c r="I32" s="10" t="inlineStr">
        <is>
          <t>2.1</t>
        </is>
      </c>
      <c r="J32" s="10" t="inlineStr">
        <is>
          <t>未着手</t>
        </is>
      </c>
      <c r="K32" s="17" t="n"/>
      <c r="L32" s="17" t="n"/>
      <c r="M32" s="17" t="n"/>
      <c r="N32" s="16" t="n"/>
      <c r="O32" s="16" t="n"/>
      <c r="P32" s="16" t="n"/>
      <c r="Q32" s="16" t="n"/>
      <c r="R32" s="16" t="n"/>
    </row>
    <row r="33">
      <c r="A33" s="10" t="inlineStr">
        <is>
          <t>4.3</t>
        </is>
      </c>
      <c r="B33" s="11" t="inlineStr">
        <is>
          <t>4 プロダクト</t>
        </is>
      </c>
      <c r="C33" s="12" t="inlineStr">
        <is>
          <t>不具合修正・改善（テスト結果の反映）</t>
        </is>
      </c>
      <c r="D33" s="12" t="inlineStr">
        <is>
          <t>重大な不具合がゼロ。モニターに出せる品質</t>
        </is>
      </c>
      <c r="E33" s="10" t="inlineStr">
        <is>
          <t>開発</t>
        </is>
      </c>
      <c r="F33" s="13" t="n">
        <v>46251</v>
      </c>
      <c r="G33" s="13" t="n">
        <v>46262</v>
      </c>
      <c r="H33" s="14">
        <f>G33-F33+1</f>
        <v/>
      </c>
      <c r="I33" s="10" t="inlineStr">
        <is>
          <t>4.2</t>
        </is>
      </c>
      <c r="J33" s="10" t="inlineStr">
        <is>
          <t>未着手</t>
        </is>
      </c>
      <c r="K33" s="16" t="n"/>
      <c r="L33" s="15" t="n"/>
      <c r="M33" s="15" t="n"/>
      <c r="N33" s="16" t="n"/>
      <c r="O33" s="16" t="n"/>
      <c r="P33" s="16" t="n"/>
      <c r="Q33" s="16" t="n"/>
      <c r="R33" s="16" t="n"/>
    </row>
    <row r="34">
      <c r="A34" s="10" t="inlineStr">
        <is>
          <t>4.4</t>
        </is>
      </c>
      <c r="B34" s="11" t="inlineStr">
        <is>
          <t>4 プロダクト</t>
        </is>
      </c>
      <c r="C34" s="12" t="inlineStr">
        <is>
          <t>エラー監視の導入（Sentry等）</t>
        </is>
      </c>
      <c r="D34" s="12" t="inlineStr">
        <is>
          <t>本番エラーが自動で通知される。モニター中の障害検知に必須</t>
        </is>
      </c>
      <c r="E34" s="10" t="inlineStr">
        <is>
          <t>開発</t>
        </is>
      </c>
      <c r="F34" s="13" t="n">
        <v>46251</v>
      </c>
      <c r="G34" s="13" t="n">
        <v>46253</v>
      </c>
      <c r="H34" s="14">
        <f>G34-F34+1</f>
        <v/>
      </c>
      <c r="I34" s="10" t="inlineStr">
        <is>
          <t>—</t>
        </is>
      </c>
      <c r="J34" s="10" t="inlineStr">
        <is>
          <t>未着手</t>
        </is>
      </c>
      <c r="K34" s="16" t="n"/>
      <c r="L34" s="17" t="n"/>
      <c r="M34" s="16" t="n"/>
      <c r="N34" s="16" t="n"/>
      <c r="O34" s="16" t="n"/>
      <c r="P34" s="16" t="n"/>
      <c r="Q34" s="16" t="n"/>
      <c r="R34" s="16" t="n"/>
    </row>
    <row r="35">
      <c r="A35" s="10" t="inlineStr">
        <is>
          <t>4.5</t>
        </is>
      </c>
      <c r="B35" s="11" t="inlineStr">
        <is>
          <t>4 プロダクト</t>
        </is>
      </c>
      <c r="C35" s="12" t="inlineStr">
        <is>
          <t>Outlook連携の復旧（Azure設定）</t>
        </is>
      </c>
      <c r="D35" s="12" t="inlineStr">
        <is>
          <t>Outlookユーザーが連携できる。法人層には必要</t>
        </is>
      </c>
      <c r="E35" s="10" t="inlineStr">
        <is>
          <t>自分/開発</t>
        </is>
      </c>
      <c r="F35" s="13" t="n">
        <v>46253</v>
      </c>
      <c r="G35" s="13" t="n">
        <v>46260</v>
      </c>
      <c r="H35" s="14">
        <f>G35-F35+1</f>
        <v/>
      </c>
      <c r="I35" s="10" t="inlineStr">
        <is>
          <t>—</t>
        </is>
      </c>
      <c r="J35" s="10" t="inlineStr">
        <is>
          <t>未着手</t>
        </is>
      </c>
      <c r="K35" s="16" t="n"/>
      <c r="L35" s="17" t="n"/>
      <c r="M35" s="17" t="n"/>
      <c r="N35" s="16" t="n"/>
      <c r="O35" s="16" t="n"/>
      <c r="P35" s="16" t="n"/>
      <c r="Q35" s="16" t="n"/>
      <c r="R35" s="16" t="n"/>
    </row>
    <row r="36">
      <c r="A36" s="10" t="inlineStr">
        <is>
          <t>4.6</t>
        </is>
      </c>
      <c r="B36" s="11" t="inlineStr">
        <is>
          <t>4 プロダクト</t>
        </is>
      </c>
      <c r="C36" s="12" t="inlineStr">
        <is>
          <t>プロンプトキャッシングでAPI費用を削減</t>
        </is>
      </c>
      <c r="D36" s="12" t="inlineStr">
        <is>
          <t>システムプロンプトを再構成し、キャッシュが効いている</t>
        </is>
      </c>
      <c r="E36" s="10" t="inlineStr">
        <is>
          <t>開発</t>
        </is>
      </c>
      <c r="F36" s="13" t="n">
        <v>46260</v>
      </c>
      <c r="G36" s="13" t="n">
        <v>46261</v>
      </c>
      <c r="H36" s="14">
        <f>G36-F36+1</f>
        <v/>
      </c>
      <c r="I36" s="10" t="inlineStr">
        <is>
          <t>—</t>
        </is>
      </c>
      <c r="J36" s="10" t="inlineStr">
        <is>
          <t>未着手</t>
        </is>
      </c>
      <c r="K36" s="16" t="n"/>
      <c r="L36" s="16" t="n"/>
      <c r="M36" s="17" t="n"/>
      <c r="N36" s="16" t="n"/>
      <c r="O36" s="16" t="n"/>
      <c r="P36" s="16" t="n"/>
      <c r="Q36" s="16" t="n"/>
      <c r="R36" s="16" t="n"/>
    </row>
    <row r="37">
      <c r="A37" s="10" t="inlineStr">
        <is>
          <t>4.7</t>
        </is>
      </c>
      <c r="B37" s="11" t="inlineStr">
        <is>
          <t>4 プロダクト</t>
        </is>
      </c>
      <c r="C37" s="12" t="inlineStr">
        <is>
          <t>モニター向けオンボーディングの改善</t>
        </is>
      </c>
      <c r="D37" s="12" t="inlineStr">
        <is>
          <t>説明なしで初回設定を完了できる</t>
        </is>
      </c>
      <c r="E37" s="10" t="inlineStr">
        <is>
          <t>開発</t>
        </is>
      </c>
      <c r="F37" s="13" t="n">
        <v>46258</v>
      </c>
      <c r="G37" s="13" t="n">
        <v>46262</v>
      </c>
      <c r="H37" s="14">
        <f>G37-F37+1</f>
        <v/>
      </c>
      <c r="I37" s="10" t="inlineStr">
        <is>
          <t>4.2</t>
        </is>
      </c>
      <c r="J37" s="10" t="inlineStr">
        <is>
          <t>未着手</t>
        </is>
      </c>
      <c r="K37" s="16" t="n"/>
      <c r="L37" s="16" t="n"/>
      <c r="M37" s="17" t="n"/>
      <c r="N37" s="16" t="n"/>
      <c r="O37" s="16" t="n"/>
      <c r="P37" s="16" t="n"/>
      <c r="Q37" s="16" t="n"/>
      <c r="R37" s="16" t="n"/>
    </row>
    <row r="38">
      <c r="A38" s="10" t="inlineStr">
        <is>
          <t>4.8</t>
        </is>
      </c>
      <c r="B38" s="11" t="inlineStr">
        <is>
          <t>4 プロダクト</t>
        </is>
      </c>
      <c r="C38" s="12" t="inlineStr">
        <is>
          <t>利用状況の可視化（誰が何回使ったか）</t>
        </is>
      </c>
      <c r="D38" s="12" t="inlineStr">
        <is>
          <t>継続率と利用頻度を数字で追える</t>
        </is>
      </c>
      <c r="E38" s="10" t="inlineStr">
        <is>
          <t>開発</t>
        </is>
      </c>
      <c r="F38" s="13" t="n">
        <v>46258</v>
      </c>
      <c r="G38" s="13" t="n">
        <v>46262</v>
      </c>
      <c r="H38" s="14">
        <f>G38-F38+1</f>
        <v/>
      </c>
      <c r="I38" s="10" t="inlineStr">
        <is>
          <t>—</t>
        </is>
      </c>
      <c r="J38" s="10" t="inlineStr">
        <is>
          <t>未着手</t>
        </is>
      </c>
      <c r="K38" s="16" t="n"/>
      <c r="L38" s="16" t="n"/>
      <c r="M38" s="17" t="n"/>
      <c r="N38" s="16" t="n"/>
      <c r="O38" s="16" t="n"/>
      <c r="P38" s="16" t="n"/>
      <c r="Q38" s="16" t="n"/>
      <c r="R38" s="16" t="n"/>
    </row>
    <row r="39">
      <c r="A39" s="10" t="inlineStr">
        <is>
          <t>4.9</t>
        </is>
      </c>
      <c r="B39" s="11" t="inlineStr">
        <is>
          <t>4 プロダクト</t>
        </is>
      </c>
      <c r="C39" s="12" t="inlineStr">
        <is>
          <t>バックアップ・障害時の復旧手順を用意</t>
        </is>
      </c>
      <c r="D39" s="12" t="inlineStr">
        <is>
          <t>DBバックアップが自動化され、復旧手順が文書化されている</t>
        </is>
      </c>
      <c r="E39" s="10" t="inlineStr">
        <is>
          <t>開発</t>
        </is>
      </c>
      <c r="F39" s="13" t="n">
        <v>46266</v>
      </c>
      <c r="G39" s="13" t="n">
        <v>46269</v>
      </c>
      <c r="H39" s="14">
        <f>G39-F39+1</f>
        <v/>
      </c>
      <c r="I39" s="10" t="inlineStr">
        <is>
          <t>—</t>
        </is>
      </c>
      <c r="J39" s="10" t="inlineStr">
        <is>
          <t>未着手</t>
        </is>
      </c>
      <c r="K39" s="16" t="n"/>
      <c r="L39" s="16" t="n"/>
      <c r="M39" s="16" t="n"/>
      <c r="N39" s="17" t="n"/>
      <c r="O39" s="16" t="n"/>
      <c r="P39" s="16" t="n"/>
      <c r="Q39" s="16" t="n"/>
      <c r="R39" s="16" t="n"/>
    </row>
    <row r="40">
      <c r="A40" s="10" t="inlineStr">
        <is>
          <t>5.1</t>
        </is>
      </c>
      <c r="B40" s="11" t="inlineStr">
        <is>
          <t>5 モニター運用</t>
        </is>
      </c>
      <c r="C40" s="12" t="inlineStr">
        <is>
          <t>モニター募集要項・条件を確定</t>
        </is>
      </c>
      <c r="D40" s="12" t="inlineStr">
        <is>
          <t>提供内容・期間・料金（無料/低額）・フィードバック義務を明文化</t>
        </is>
      </c>
      <c r="E40" s="10" t="inlineStr">
        <is>
          <t>自分</t>
        </is>
      </c>
      <c r="F40" s="13" t="n">
        <v>46258</v>
      </c>
      <c r="G40" s="13" t="n">
        <v>46262</v>
      </c>
      <c r="H40" s="14">
        <f>G40-F40+1</f>
        <v/>
      </c>
      <c r="I40" s="10" t="inlineStr">
        <is>
          <t>—</t>
        </is>
      </c>
      <c r="J40" s="10" t="inlineStr">
        <is>
          <t>未着手</t>
        </is>
      </c>
      <c r="K40" s="16" t="n"/>
      <c r="L40" s="16" t="n"/>
      <c r="M40" s="17" t="n"/>
      <c r="N40" s="16" t="n"/>
      <c r="O40" s="16" t="n"/>
      <c r="P40" s="16" t="n"/>
      <c r="Q40" s="16" t="n"/>
      <c r="R40" s="16" t="n"/>
    </row>
    <row r="41">
      <c r="A41" s="10" t="inlineStr">
        <is>
          <t>5.2</t>
        </is>
      </c>
      <c r="B41" s="11" t="inlineStr">
        <is>
          <t>5 モニター運用</t>
        </is>
      </c>
      <c r="C41" s="12" t="inlineStr">
        <is>
          <t>申込フォーム・正式な招待メール文面を用意（申込導線）</t>
        </is>
      </c>
      <c r="D41" s="12" t="inlineStr">
        <is>
          <t>申込〜利用開始までの導線が完成。3.1のメッセージと表現がそろっている</t>
        </is>
      </c>
      <c r="E41" s="10" t="inlineStr">
        <is>
          <t>自分</t>
        </is>
      </c>
      <c r="F41" s="13" t="n">
        <v>46260</v>
      </c>
      <c r="G41" s="13" t="n">
        <v>46265</v>
      </c>
      <c r="H41" s="14">
        <f>G41-F41+1</f>
        <v/>
      </c>
      <c r="I41" s="10" t="inlineStr">
        <is>
          <t>3.1,5.1</t>
        </is>
      </c>
      <c r="J41" s="10" t="inlineStr">
        <is>
          <t>未着手</t>
        </is>
      </c>
      <c r="K41" s="16" t="n"/>
      <c r="L41" s="16" t="n"/>
      <c r="M41" s="17" t="n"/>
      <c r="N41" s="17" t="n"/>
      <c r="O41" s="16" t="n"/>
      <c r="P41" s="16" t="n"/>
      <c r="Q41" s="16" t="n"/>
      <c r="R41" s="16" t="n"/>
    </row>
    <row r="42">
      <c r="A42" s="10" t="inlineStr">
        <is>
          <t>5.3</t>
        </is>
      </c>
      <c r="B42" s="11" t="inlineStr">
        <is>
          <t>5 モニター運用</t>
        </is>
      </c>
      <c r="C42" s="12" t="inlineStr">
        <is>
          <t>モニター候補のリストアップ・打診（人脈メンバー中心）</t>
        </is>
      </c>
      <c r="D42" s="12" t="inlineStr">
        <is>
          <t>開始時に必要な人数の内諾が取れている。3.2の営業資料を使って声かけする</t>
        </is>
      </c>
      <c r="E42" s="10" t="inlineStr">
        <is>
          <t>自分/人脈メンバー</t>
        </is>
      </c>
      <c r="F42" s="13" t="n">
        <v>46254</v>
      </c>
      <c r="G42" s="13" t="n">
        <v>46265</v>
      </c>
      <c r="H42" s="14">
        <f>G42-F42+1</f>
        <v/>
      </c>
      <c r="I42" s="10" t="inlineStr">
        <is>
          <t>3.2,5.1</t>
        </is>
      </c>
      <c r="J42" s="10" t="inlineStr">
        <is>
          <t>未着手</t>
        </is>
      </c>
      <c r="K42" s="16" t="n"/>
      <c r="L42" s="15" t="n"/>
      <c r="M42" s="15" t="n"/>
      <c r="N42" s="15" t="n"/>
      <c r="O42" s="16" t="n"/>
      <c r="P42" s="16" t="n"/>
      <c r="Q42" s="16" t="n"/>
      <c r="R42" s="16" t="n"/>
    </row>
    <row r="43">
      <c r="A43" s="18" t="inlineStr">
        <is>
          <t>5.4</t>
        </is>
      </c>
      <c r="B43" s="19" t="inlineStr">
        <is>
          <t>5 モニター運用</t>
        </is>
      </c>
      <c r="C43" s="20" t="inlineStr">
        <is>
          <t>★モニター開始（招待制・〜100名）</t>
        </is>
      </c>
      <c r="D43" s="20" t="inlineStr">
        <is>
          <t>招待した方が実際に使い始めている</t>
        </is>
      </c>
      <c r="E43" s="18" t="inlineStr">
        <is>
          <t>自分</t>
        </is>
      </c>
      <c r="F43" s="21" t="n">
        <v>46266</v>
      </c>
      <c r="G43" s="21" t="n">
        <v>46266</v>
      </c>
      <c r="H43" s="22">
        <f>G43-F43+1</f>
        <v/>
      </c>
      <c r="I43" s="18" t="inlineStr">
        <is>
          <t>4.3,5.3</t>
        </is>
      </c>
      <c r="J43" s="18" t="inlineStr">
        <is>
          <t>未着手</t>
        </is>
      </c>
      <c r="K43" s="16" t="n"/>
      <c r="L43" s="16" t="n"/>
      <c r="M43" s="16" t="n"/>
      <c r="N43" s="23" t="n"/>
      <c r="O43" s="16" t="n"/>
      <c r="P43" s="16" t="n"/>
      <c r="Q43" s="16" t="n"/>
      <c r="R43" s="16" t="n"/>
    </row>
    <row r="44">
      <c r="A44" s="10" t="inlineStr">
        <is>
          <t>5.5</t>
        </is>
      </c>
      <c r="B44" s="11" t="inlineStr">
        <is>
          <t>5 モニター運用</t>
        </is>
      </c>
      <c r="C44" s="12" t="inlineStr">
        <is>
          <t>テストユーザー登録の運用</t>
        </is>
      </c>
      <c r="D44" s="12" t="inlineStr">
        <is>
          <t>申込ごとにGoogle側へ登録する手順が回っている</t>
        </is>
      </c>
      <c r="E44" s="10" t="inlineStr">
        <is>
          <t>自分</t>
        </is>
      </c>
      <c r="F44" s="13" t="n">
        <v>46266</v>
      </c>
      <c r="G44" s="13" t="n">
        <v>46295</v>
      </c>
      <c r="H44" s="14">
        <f>G44-F44+1</f>
        <v/>
      </c>
      <c r="I44" s="10" t="inlineStr">
        <is>
          <t>5.4</t>
        </is>
      </c>
      <c r="J44" s="10" t="inlineStr">
        <is>
          <t>未着手</t>
        </is>
      </c>
      <c r="K44" s="16" t="n"/>
      <c r="L44" s="16" t="n"/>
      <c r="M44" s="16" t="n"/>
      <c r="N44" s="17" t="n"/>
      <c r="O44" s="17" t="n"/>
      <c r="P44" s="17" t="n"/>
      <c r="Q44" s="17" t="n"/>
      <c r="R44" s="17" t="n"/>
    </row>
    <row r="45">
      <c r="A45" s="10" t="inlineStr">
        <is>
          <t>5.6</t>
        </is>
      </c>
      <c r="B45" s="11" t="inlineStr">
        <is>
          <t>5 モニター運用</t>
        </is>
      </c>
      <c r="C45" s="12" t="inlineStr">
        <is>
          <t>サポート窓口の設置・運用</t>
        </is>
      </c>
      <c r="D45" s="12" t="inlineStr">
        <is>
          <t>問い合わせ先が公開され、返信の担当と目安時間が決まっている</t>
        </is>
      </c>
      <c r="E45" s="10" t="inlineStr">
        <is>
          <t>自分</t>
        </is>
      </c>
      <c r="F45" s="13" t="n">
        <v>46266</v>
      </c>
      <c r="G45" s="13" t="n">
        <v>46295</v>
      </c>
      <c r="H45" s="14">
        <f>G45-F45+1</f>
        <v/>
      </c>
      <c r="I45" s="10" t="inlineStr">
        <is>
          <t>5.4</t>
        </is>
      </c>
      <c r="J45" s="10" t="inlineStr">
        <is>
          <t>未着手</t>
        </is>
      </c>
      <c r="K45" s="16" t="n"/>
      <c r="L45" s="16" t="n"/>
      <c r="M45" s="16" t="n"/>
      <c r="N45" s="17" t="n"/>
      <c r="O45" s="17" t="n"/>
      <c r="P45" s="17" t="n"/>
      <c r="Q45" s="17" t="n"/>
      <c r="R45" s="17" t="n"/>
    </row>
    <row r="46">
      <c r="A46" s="10" t="inlineStr">
        <is>
          <t>5.7</t>
        </is>
      </c>
      <c r="B46" s="11" t="inlineStr">
        <is>
          <t>5 モニター運用</t>
        </is>
      </c>
      <c r="C46" s="12" t="inlineStr">
        <is>
          <t>週次でフィードバック収集・改善反映</t>
        </is>
      </c>
      <c r="D46" s="12" t="inlineStr">
        <is>
          <t>毎週の改善サイクルが回っている</t>
        </is>
      </c>
      <c r="E46" s="10" t="inlineStr">
        <is>
          <t>全員</t>
        </is>
      </c>
      <c r="F46" s="13" t="n">
        <v>46266</v>
      </c>
      <c r="G46" s="13" t="n">
        <v>46295</v>
      </c>
      <c r="H46" s="14">
        <f>G46-F46+1</f>
        <v/>
      </c>
      <c r="I46" s="10" t="inlineStr">
        <is>
          <t>5.4</t>
        </is>
      </c>
      <c r="J46" s="10" t="inlineStr">
        <is>
          <t>未着手</t>
        </is>
      </c>
      <c r="K46" s="16" t="n"/>
      <c r="L46" s="16" t="n"/>
      <c r="M46" s="16" t="n"/>
      <c r="N46" s="17" t="n"/>
      <c r="O46" s="17" t="n"/>
      <c r="P46" s="17" t="n"/>
      <c r="Q46" s="17" t="n"/>
      <c r="R46" s="17" t="n"/>
    </row>
    <row r="47">
      <c r="A47" s="10" t="inlineStr">
        <is>
          <t>5.8</t>
        </is>
      </c>
      <c r="B47" s="11" t="inlineStr">
        <is>
          <t>5 モニター運用</t>
        </is>
      </c>
      <c r="C47" s="12" t="inlineStr">
        <is>
          <t>KPI計測（継続率・利用頻度・音声利用率）</t>
        </is>
      </c>
      <c r="D47" s="12" t="inlineStr">
        <is>
          <t>有料化の判断材料になる数字が揃っている</t>
        </is>
      </c>
      <c r="E47" s="10" t="inlineStr">
        <is>
          <t>自分</t>
        </is>
      </c>
      <c r="F47" s="13" t="n">
        <v>46272</v>
      </c>
      <c r="G47" s="13" t="n">
        <v>46295</v>
      </c>
      <c r="H47" s="14">
        <f>G47-F47+1</f>
        <v/>
      </c>
      <c r="I47" s="10" t="inlineStr">
        <is>
          <t>4.8,5.4</t>
        </is>
      </c>
      <c r="J47" s="10" t="inlineStr">
        <is>
          <t>未着手</t>
        </is>
      </c>
      <c r="K47" s="16" t="n"/>
      <c r="L47" s="16" t="n"/>
      <c r="M47" s="16" t="n"/>
      <c r="N47" s="16" t="n"/>
      <c r="O47" s="17" t="n"/>
      <c r="P47" s="17" t="n"/>
      <c r="Q47" s="17" t="n"/>
      <c r="R47" s="17" t="n"/>
    </row>
    <row r="48">
      <c r="A48" s="10" t="inlineStr">
        <is>
          <t>6.1</t>
        </is>
      </c>
      <c r="B48" s="11" t="inlineStr">
        <is>
          <t>6 有料化準備</t>
        </is>
      </c>
      <c r="C48" s="12" t="inlineStr">
        <is>
          <t>料金プランを確定</t>
        </is>
      </c>
      <c r="D48" s="12" t="inlineStr">
        <is>
          <t>プラン構成と価格が決定（要件書は¥5,000/¥8,000/法人¥40,000想定）</t>
        </is>
      </c>
      <c r="E48" s="10" t="inlineStr">
        <is>
          <t>自分</t>
        </is>
      </c>
      <c r="F48" s="13" t="n">
        <v>46272</v>
      </c>
      <c r="G48" s="13" t="n">
        <v>46283</v>
      </c>
      <c r="H48" s="14">
        <f>G48-F48+1</f>
        <v/>
      </c>
      <c r="I48" s="10" t="inlineStr">
        <is>
          <t>5.8</t>
        </is>
      </c>
      <c r="J48" s="10" t="inlineStr">
        <is>
          <t>未着手</t>
        </is>
      </c>
      <c r="K48" s="16" t="n"/>
      <c r="L48" s="16" t="n"/>
      <c r="M48" s="16" t="n"/>
      <c r="N48" s="16" t="n"/>
      <c r="O48" s="17" t="n"/>
      <c r="P48" s="17" t="n"/>
      <c r="Q48" s="16" t="n"/>
      <c r="R48" s="16" t="n"/>
    </row>
    <row r="49">
      <c r="A49" s="10" t="inlineStr">
        <is>
          <t>6.2</t>
        </is>
      </c>
      <c r="B49" s="11" t="inlineStr">
        <is>
          <t>6 有料化準備</t>
        </is>
      </c>
      <c r="C49" s="12" t="inlineStr">
        <is>
          <t>特定商取引法に基づく表記を作成</t>
        </is>
      </c>
      <c r="D49" s="12" t="inlineStr">
        <is>
          <t>事業者名・所在地・連絡先・解約条件をサイトに掲載</t>
        </is>
      </c>
      <c r="E49" s="10" t="inlineStr">
        <is>
          <t>自分</t>
        </is>
      </c>
      <c r="F49" s="13" t="n">
        <v>46279</v>
      </c>
      <c r="G49" s="13" t="n">
        <v>46290</v>
      </c>
      <c r="H49" s="14">
        <f>G49-F49+1</f>
        <v/>
      </c>
      <c r="I49" s="10" t="inlineStr">
        <is>
          <t>1.8,6.1</t>
        </is>
      </c>
      <c r="J49" s="10" t="inlineStr">
        <is>
          <t>未着手</t>
        </is>
      </c>
      <c r="K49" s="16" t="n"/>
      <c r="L49" s="16" t="n"/>
      <c r="M49" s="16" t="n"/>
      <c r="N49" s="16" t="n"/>
      <c r="O49" s="16" t="n"/>
      <c r="P49" s="17" t="n"/>
      <c r="Q49" s="17" t="n"/>
      <c r="R49" s="16" t="n"/>
    </row>
    <row r="50">
      <c r="A50" s="10" t="inlineStr">
        <is>
          <t>6.3</t>
        </is>
      </c>
      <c r="B50" s="11" t="inlineStr">
        <is>
          <t>6 有料化準備</t>
        </is>
      </c>
      <c r="C50" s="12" t="inlineStr">
        <is>
          <t>Stripe アカウント開設</t>
        </is>
      </c>
      <c r="D50" s="12" t="inlineStr">
        <is>
          <t>法人口座を登録し、入金確認まで完了</t>
        </is>
      </c>
      <c r="E50" s="10" t="inlineStr">
        <is>
          <t>自分</t>
        </is>
      </c>
      <c r="F50" s="13" t="n">
        <v>46293</v>
      </c>
      <c r="G50" s="13" t="n">
        <v>46295</v>
      </c>
      <c r="H50" s="14">
        <f>G50-F50+1</f>
        <v/>
      </c>
      <c r="I50" s="10" t="inlineStr">
        <is>
          <t>1.10</t>
        </is>
      </c>
      <c r="J50" s="10" t="inlineStr">
        <is>
          <t>未着手</t>
        </is>
      </c>
      <c r="K50" s="16" t="n"/>
      <c r="L50" s="16" t="n"/>
      <c r="M50" s="16" t="n"/>
      <c r="N50" s="16" t="n"/>
      <c r="O50" s="16" t="n"/>
      <c r="P50" s="16" t="n"/>
      <c r="Q50" s="16" t="n"/>
      <c r="R50" s="17" t="n"/>
    </row>
    <row r="51">
      <c r="A51" s="24" t="inlineStr">
        <is>
          <t>6.4</t>
        </is>
      </c>
      <c r="B51" s="25" t="inlineStr">
        <is>
          <t>6 有料化準備</t>
        </is>
      </c>
      <c r="C51" s="26" t="inlineStr">
        <is>
          <t>課金機能の実装（10月）</t>
        </is>
      </c>
      <c r="D51" s="26" t="inlineStr">
        <is>
          <t>サブスク登録・解約・failed payment の処理が動く</t>
        </is>
      </c>
      <c r="E51" s="24" t="inlineStr">
        <is>
          <t>開発</t>
        </is>
      </c>
      <c r="F51" s="27" t="n">
        <v>46296</v>
      </c>
      <c r="G51" s="27" t="n">
        <v>46310</v>
      </c>
      <c r="H51" s="14">
        <f>G51-F51+1</f>
        <v/>
      </c>
      <c r="I51" s="24" t="inlineStr">
        <is>
          <t>6.3</t>
        </is>
      </c>
      <c r="J51" s="24" t="inlineStr">
        <is>
          <t>未着手</t>
        </is>
      </c>
      <c r="K51" s="16" t="n"/>
      <c r="L51" s="16" t="n"/>
      <c r="M51" s="16" t="n"/>
      <c r="N51" s="16" t="n"/>
      <c r="O51" s="16" t="n"/>
      <c r="P51" s="16" t="n"/>
      <c r="Q51" s="16" t="n"/>
      <c r="R51" s="28" t="n"/>
    </row>
    <row r="52">
      <c r="A52" s="24" t="inlineStr">
        <is>
          <t>6.5</t>
        </is>
      </c>
      <c r="B52" s="25" t="inlineStr">
        <is>
          <t>6 有料化準備</t>
        </is>
      </c>
      <c r="C52" s="26" t="inlineStr">
        <is>
          <t>請求・領収書の運用設計（10月）</t>
        </is>
      </c>
      <c r="D52" s="26" t="inlineStr">
        <is>
          <t>毎月の請求と領収書発行が回る</t>
        </is>
      </c>
      <c r="E52" s="24" t="inlineStr">
        <is>
          <t>自分</t>
        </is>
      </c>
      <c r="F52" s="27" t="n">
        <v>46296</v>
      </c>
      <c r="G52" s="27" t="n">
        <v>46310</v>
      </c>
      <c r="H52" s="14">
        <f>G52-F52+1</f>
        <v/>
      </c>
      <c r="I52" s="24" t="inlineStr">
        <is>
          <t>6.3</t>
        </is>
      </c>
      <c r="J52" s="24" t="inlineStr">
        <is>
          <t>未着手</t>
        </is>
      </c>
      <c r="K52" s="16" t="n"/>
      <c r="L52" s="16" t="n"/>
      <c r="M52" s="16" t="n"/>
      <c r="N52" s="16" t="n"/>
      <c r="O52" s="16" t="n"/>
      <c r="P52" s="16" t="n"/>
      <c r="Q52" s="16" t="n"/>
      <c r="R52" s="28" t="n"/>
    </row>
    <row r="54">
      <c r="B54" s="29" t="inlineStr">
        <is>
          <t>進捗サマリー</t>
        </is>
      </c>
    </row>
    <row r="55">
      <c r="B55" s="30" t="inlineStr">
        <is>
          <t>全タスク</t>
        </is>
      </c>
      <c r="C55" s="31">
        <f>COUNTA(A6:A52)</f>
        <v/>
      </c>
    </row>
    <row r="56">
      <c r="B56" s="30" t="inlineStr">
        <is>
          <t>未着手</t>
        </is>
      </c>
      <c r="C56" s="31">
        <f>COUNTIF(J6:J52,"未着手")</f>
        <v/>
      </c>
    </row>
    <row r="57">
      <c r="B57" s="30" t="inlineStr">
        <is>
          <t>進行中</t>
        </is>
      </c>
      <c r="C57" s="31">
        <f>COUNTIF(J6:J52,"進行中")</f>
        <v/>
      </c>
    </row>
    <row r="58">
      <c r="B58" s="30" t="inlineStr">
        <is>
          <t>完了</t>
        </is>
      </c>
      <c r="C58" s="31">
        <f>COUNTIF(J6:J52,"完了")</f>
        <v/>
      </c>
    </row>
    <row r="59">
      <c r="B59" s="30" t="inlineStr">
        <is>
          <t>完了率</t>
        </is>
      </c>
      <c r="C59" s="32">
        <f>IFERROR(C58/C55,0)</f>
        <v/>
      </c>
    </row>
  </sheetData>
  <mergeCells count="2">
    <mergeCell ref="A2:R2"/>
    <mergeCell ref="A1:R1"/>
  </mergeCells>
  <dataValidations count="1">
    <dataValidation sqref="J6:J52" showDropDown="0" showInputMessage="0" showErrorMessage="0" allowBlank="1" type="list">
      <formula1>"未着手,進行中,完了,保留"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62" customWidth="1" min="3" max="3"/>
  </cols>
  <sheetData>
    <row r="1">
      <c r="A1" s="33" t="inlineStr">
        <is>
          <t>重要な期日</t>
        </is>
      </c>
    </row>
    <row r="3">
      <c r="A3" s="34" t="inlineStr">
        <is>
          <t>期日</t>
        </is>
      </c>
      <c r="B3" s="34" t="inlineStr">
        <is>
          <t>マイルストーン</t>
        </is>
      </c>
      <c r="C3" s="34" t="inlineStr">
        <is>
          <t>なぜ重要か</t>
        </is>
      </c>
    </row>
    <row r="4">
      <c r="A4" s="35" t="inlineStr">
        <is>
          <t>8/11</t>
        </is>
      </c>
      <c r="B4" s="36" t="inlineStr">
        <is>
          <t>OAuth同意画面を本番公開</t>
        </is>
      </c>
      <c r="C4" s="37" t="inlineStr">
        <is>
          <t>テスト状態のままだと7日ごとに全ユーザーの接続が切れる。最優先</t>
        </is>
      </c>
    </row>
    <row r="5">
      <c r="A5" s="35" t="inlineStr">
        <is>
          <t>8/13</t>
        </is>
      </c>
      <c r="B5" s="36" t="inlineStr">
        <is>
          <t>商号・ポジショニングを確定</t>
        </is>
      </c>
      <c r="C5" s="37" t="inlineStr">
        <is>
          <t>プライバシーポリシー・利用規約・ドメイン・LP訴求・営業資料がすべてここで止まる</t>
        </is>
      </c>
    </row>
    <row r="6">
      <c r="A6" s="35" t="inlineStr">
        <is>
          <t>8/25</t>
        </is>
      </c>
      <c r="B6" s="36" t="inlineStr">
        <is>
          <t>登記申請＝会社設立日</t>
        </is>
      </c>
      <c r="C6" s="37" t="inlineStr">
        <is>
          <t>以降の契約・口座・特商法表記がすべてこの日に紐づく</t>
        </is>
      </c>
    </row>
    <row r="7">
      <c r="A7" s="35" t="inlineStr">
        <is>
          <t>8/28</t>
        </is>
      </c>
      <c r="B7" s="36" t="inlineStr">
        <is>
          <t>Google審査を提出</t>
        </is>
      </c>
      <c r="C7" s="37" t="inlineStr">
        <is>
          <t>審査期間が読めないため、1日でも早く出す</t>
        </is>
      </c>
    </row>
    <row r="8">
      <c r="A8" s="35" t="inlineStr">
        <is>
          <t>9/1</t>
        </is>
      </c>
      <c r="B8" s="36" t="inlineStr">
        <is>
          <t>招待制モニター開始（〜100名）</t>
        </is>
      </c>
      <c r="C8" s="37" t="inlineStr">
        <is>
          <t>審査未完でも運用可能。ただし警告画面は出る</t>
        </is>
      </c>
    </row>
    <row r="9">
      <c r="A9" s="35" t="inlineStr">
        <is>
          <t>9/30</t>
        </is>
      </c>
      <c r="B9" s="36" t="inlineStr">
        <is>
          <t>モニター1ヶ月・有料化判断</t>
        </is>
      </c>
      <c r="C9" s="37" t="inlineStr">
        <is>
          <t>継続率とKPIを見て10月の有料化を決める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52" customWidth="1" min="3" max="3"/>
    <col width="52" customWidth="1" min="4" max="4"/>
  </cols>
  <sheetData>
    <row r="1">
      <c r="A1" s="33" t="inlineStr">
        <is>
          <t>計画の前提と、崩れたときの影響</t>
        </is>
      </c>
    </row>
    <row r="3">
      <c r="A3" s="34" t="inlineStr">
        <is>
          <t>リスク</t>
        </is>
      </c>
      <c r="B3" s="34" t="inlineStr">
        <is>
          <t>影響度</t>
        </is>
      </c>
      <c r="C3" s="34" t="inlineStr">
        <is>
          <t>内容</t>
        </is>
      </c>
      <c r="D3" s="34" t="inlineStr">
        <is>
          <t>対応方針</t>
        </is>
      </c>
    </row>
    <row r="4">
      <c r="A4" s="36" t="inlineStr">
        <is>
          <t>Google審査の期間が読めない</t>
        </is>
      </c>
      <c r="B4" s="38" t="inlineStr">
        <is>
          <t>高</t>
        </is>
      </c>
      <c r="C4" s="37" t="inlineStr">
        <is>
          <t>Googleは所要期間を公表していない。機密スコープでは数週間かかるのが一般的で、差し戻しが入るとさらに延びる</t>
        </is>
      </c>
      <c r="D4" s="37" t="inlineStr">
        <is>
          <t>9月は招待制（〜100名）で回し、一般公開は審査通過後に切り替える。提出を8月中に済ませて待ち時間を前倒しする</t>
        </is>
      </c>
    </row>
    <row r="5">
      <c r="A5" s="36" t="inlineStr">
        <is>
          <t>法人口座の開設に2〜4週かかる</t>
        </is>
      </c>
      <c r="B5" s="38" t="inlineStr">
        <is>
          <t>高</t>
        </is>
      </c>
      <c r="C5" s="37" t="inlineStr">
        <is>
          <t>登記完了（9/4頃）以降でないと申請できず、Stripeの登録も口座待ちになる</t>
        </is>
      </c>
      <c r="D5" s="37" t="inlineStr">
        <is>
          <t>有料化を10月以降に置く。9月は無料または低額モニターとし、決済を介さない</t>
        </is>
      </c>
    </row>
    <row r="6">
      <c r="A6" s="36" t="inlineStr">
        <is>
          <t>独自ドメインがないと審査に出せない</t>
        </is>
      </c>
      <c r="B6" s="38" t="inlineStr">
        <is>
          <t>高</t>
        </is>
      </c>
      <c r="C6" s="37" t="inlineStr">
        <is>
          <t>審査要件でホームページとポリシーが所有権確認済みドメイン上にあることを求められる。vercel.appでは不可</t>
        </is>
      </c>
      <c r="D6" s="37" t="inlineStr">
        <is>
          <t>8/11〜12にドメインを取得し、最優先でLPとポリシーを載せる</t>
        </is>
      </c>
    </row>
    <row r="7">
      <c r="A7" s="36" t="inlineStr">
        <is>
          <t>テスト状態のままだと7日で接続が切れる</t>
        </is>
      </c>
      <c r="B7" s="38" t="inlineStr">
        <is>
          <t>高</t>
        </is>
      </c>
      <c r="C7" s="37" t="inlineStr">
        <is>
          <t>Google公式仕様。モニターが毎週再連携を強いられ、離脱の原因になる</t>
        </is>
      </c>
      <c r="D7" s="37" t="inlineStr">
        <is>
          <t>8/11にOAuth同意画面を本番公開する（審査完了を待つ必要はない）</t>
        </is>
      </c>
    </row>
    <row r="8">
      <c r="A8" s="36" t="inlineStr">
        <is>
          <t>「確認されていません」の警告画面が出る</t>
        </is>
      </c>
      <c r="B8" s="35" t="inlineStr">
        <is>
          <t>中</t>
        </is>
      </c>
      <c r="C8" s="37" t="inlineStr">
        <is>
          <t>審査完了までは全ユーザーに表示される。経営層向けサービスとしては印象が悪い</t>
        </is>
      </c>
      <c r="D8" s="37" t="inlineStr">
        <is>
          <t>招待時にマニュアルで事前に説明する。審査通過後は表示されなくなる</t>
        </is>
      </c>
    </row>
    <row r="9">
      <c r="A9" s="36" t="inlineStr">
        <is>
          <t>商号・サービス名の商標リスク</t>
        </is>
      </c>
      <c r="B9" s="35" t="inlineStr">
        <is>
          <t>中</t>
        </is>
      </c>
      <c r="C9" s="37" t="inlineStr">
        <is>
          <t>「コンシェルジュ」は一般的な語で、権利化が難しい一方、既存権利に触れる可能性もある</t>
        </is>
      </c>
      <c r="D9" s="37" t="inlineStr">
        <is>
          <t>8月中に予備調査し、必要なら弁理士に相談。ブランド変更は後になるほど高くつく</t>
        </is>
      </c>
    </row>
    <row r="10">
      <c r="A10" s="36" t="inlineStr">
        <is>
          <t>Outlook連携が未稼働</t>
        </is>
      </c>
      <c r="B10" s="35" t="inlineStr">
        <is>
          <t>中</t>
        </is>
      </c>
      <c r="C10" s="37" t="inlineStr">
        <is>
          <t>Azure側の設定が未完。法人・Teams利用者を取り込めない</t>
        </is>
      </c>
      <c r="D10" s="37" t="inlineStr">
        <is>
          <t>8月中に復旧させる。間に合わなければモニターはGoogleユーザー限定で募る</t>
        </is>
      </c>
    </row>
    <row r="11">
      <c r="A11" s="36" t="inlineStr">
        <is>
          <t>開発リソースが実質1名</t>
        </is>
      </c>
      <c r="B11" s="35" t="inlineStr">
        <is>
          <t>中</t>
        </is>
      </c>
      <c r="C11" s="37" t="inlineStr">
        <is>
          <t>設立手続きと開発が同じ人に集中し、どちらかが確実に遅れる</t>
        </is>
      </c>
      <c r="D11" s="37" t="inlineStr">
        <is>
          <t>定款・登記・ポリシーは専門家に外注し、自分は開発と審査対応に集中する</t>
        </is>
      </c>
    </row>
    <row r="12">
      <c r="A12" s="36" t="inlineStr">
        <is>
          <t>招待の集客が特定1名の人脈に集中している</t>
        </is>
      </c>
      <c r="B12" s="35" t="inlineStr">
        <is>
          <t>中</t>
        </is>
      </c>
      <c r="C12" s="37" t="inlineStr">
        <is>
          <t>チーム内の人脈を持つ1名の稼働・都合に依存しており、その人が動けないと100名という目標に届かない</t>
        </is>
      </c>
      <c r="D12" s="37" t="inlineStr">
        <is>
          <t>8月中に営業資料（3.2）を用意して早期に声かけを開始してもらう。他の3名にも並行して自分の人脈への打診を依頼し、一極集中を避ける</t>
        </is>
      </c>
    </row>
    <row r="13">
      <c r="A13" s="36" t="inlineStr">
        <is>
          <t>iPhone音声入力の必須化に伴うネイティブアプリ化コスト</t>
        </is>
      </c>
      <c r="B13" s="35" t="inlineStr">
        <is>
          <t>中</t>
        </is>
      </c>
      <c r="C13" s="37" t="inlineStr">
        <is>
          <t>iOSのホーム画面PWAはOS側の制約でWeb Speech APIが使えず、音声入力を必須機能にするにはCapacitor等でのネイティブ化＋音声認識プラグイン導入が必要。Apple Developer Program登録に年$99。社外配布にはApp Store公開審査（プライバシー表記・マイク権限説明等）が必須で、アプリ内課金を使うとApple手数料15〜30%が発生する</t>
        </is>
      </c>
      <c r="D13" s="37" t="inlineStr">
        <is>
          <t>契約・課金は自社Webダッシュボードで完結させ、アプリはログイン専用にしてApple手数料を回避する。CapacitorはWeb側の内容をサーバーから都度読み込む構成にし、ネイティブの音声認識プラグイン自体を変更しない限り、機能追加・修正は今まで通りgit pushだけで即時反映できるようにする（審査待ちは発生しない）</t>
        </is>
      </c>
    </row>
    <row r="16">
      <c r="A16" s="39" t="inlineStr">
        <is>
          <t>※ 会社設立・税務・法務・商標に関する記載は一般的な流れの整理です。実際の手続きは司法書士・税理士・弁理士にご確認ください。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2026-08-20T14:39:39Z</dcterms:created>
  <dcterms:modified xmlns:dcterms="http://purl.org/dc/terms/" xmlns:xsi="http://www.w3.org/2001/XMLSchema-instance" xsi:type="dcterms:W3CDTF">2026-08-20T14:39:39Z</dcterms:modified>
</cp:coreProperties>
</file>